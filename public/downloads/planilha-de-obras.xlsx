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ndb\Downloads\"/>
    </mc:Choice>
  </mc:AlternateContent>
  <xr:revisionPtr revIDLastSave="0" documentId="13_ncr:1_{261A75EF-8435-439D-A34F-59A2762EAC20}" xr6:coauthVersionLast="47" xr6:coauthVersionMax="47" xr10:uidLastSave="{00000000-0000-0000-0000-000000000000}"/>
  <bookViews>
    <workbookView xWindow="-110" yWindow="-110" windowWidth="19420" windowHeight="11020" tabRatio="500" firstSheet="2" activeTab="7" xr2:uid="{00000000-000D-0000-FFFF-FFFF00000000}"/>
  </bookViews>
  <sheets>
    <sheet name="Comece Aqui" sheetId="1" r:id="rId1"/>
    <sheet name="Dashboard" sheetId="2" r:id="rId2"/>
    <sheet name="Projeto" sheetId="3" r:id="rId3"/>
    <sheet name="Materiais" sheetId="4" r:id="rId4"/>
    <sheet name="MaoObra" sheetId="5" r:id="rId5"/>
    <sheet name="CustosAdicionais" sheetId="6" r:id="rId6"/>
    <sheet name="Resume" sheetId="7" r:id="rId7"/>
    <sheet name="Condicoes" sheetId="8" r:id="rId8"/>
  </sheets>
  <definedNames>
    <definedName name="_xlchart.v1.0" hidden="1">MaoObra!$A$4:$A$25</definedName>
    <definedName name="_xlchart.v1.1" hidden="1">MaoObra!$B$4:$B$25</definedName>
    <definedName name="_xlchart.v1.2" hidden="1">MaoObra!$C$4:$C$25</definedName>
    <definedName name="_xlchart.v1.3" hidden="1">MaoObra!$D$4:$D$25</definedName>
    <definedName name="_xlchart.v1.4" hidden="1">MaoObra!$E$4:$E$25</definedName>
    <definedName name="_xlchart.v1.5" hidden="1">MaoObra!$F$4:$F$25</definedName>
    <definedName name="_xlchart.v1.6" hidden="1">MaoObra!$G$4:$G$25</definedName>
    <definedName name="_xlnm.Print_Area" localSheetId="7">Condicoes!$A$1:$B$1,Condicoes!$A$3:$B$9</definedName>
    <definedName name="_xlnm.Print_Area" localSheetId="1">Dashboard!$A$1:$F$1,Dashboard!$A$3:$F$17</definedName>
    <definedName name="_xlnm.Print_Area" localSheetId="6">Resume!$A$1:$C$1,Resume!$A$3:$C$11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6" l="1"/>
  <c r="E12" i="6"/>
  <c r="E11" i="6"/>
  <c r="E10" i="6"/>
  <c r="E9" i="6"/>
  <c r="E8" i="6"/>
  <c r="E7" i="6"/>
  <c r="E6" i="6"/>
  <c r="E5" i="6"/>
  <c r="E4" i="6"/>
  <c r="E15" i="6" s="1"/>
  <c r="F23" i="5"/>
  <c r="F22" i="5"/>
  <c r="F21" i="5"/>
  <c r="F20" i="5"/>
  <c r="F18" i="5"/>
  <c r="F17" i="5"/>
  <c r="F16" i="5"/>
  <c r="F15" i="5"/>
  <c r="F13" i="5"/>
  <c r="F11" i="5"/>
  <c r="F10" i="5"/>
  <c r="F8" i="5"/>
  <c r="F6" i="5"/>
  <c r="F5" i="5"/>
  <c r="F33" i="4"/>
  <c r="F32" i="4"/>
  <c r="F31" i="4"/>
  <c r="F30" i="4"/>
  <c r="F29" i="4"/>
  <c r="F27" i="4"/>
  <c r="F26" i="4"/>
  <c r="F25" i="4"/>
  <c r="F24" i="4"/>
  <c r="F23" i="4"/>
  <c r="F21" i="4"/>
  <c r="F20" i="4"/>
  <c r="F19" i="4"/>
  <c r="F18" i="4"/>
  <c r="F17" i="4"/>
  <c r="F15" i="4"/>
  <c r="F14" i="4"/>
  <c r="F13" i="4"/>
  <c r="F12" i="4"/>
  <c r="F11" i="4"/>
  <c r="F9" i="4"/>
  <c r="F8" i="4"/>
  <c r="F7" i="4"/>
  <c r="F6" i="4"/>
  <c r="F5" i="4"/>
  <c r="F35" i="4" s="1"/>
  <c r="B15" i="2"/>
  <c r="B8" i="2"/>
  <c r="B7" i="2"/>
  <c r="B6" i="2"/>
  <c r="B5" i="2"/>
  <c r="B4" i="2"/>
  <c r="F25" i="5" l="1"/>
  <c r="B4" i="7" s="1"/>
  <c r="B11" i="2"/>
  <c r="B3" i="7"/>
  <c r="B13" i="2"/>
  <c r="B5" i="7"/>
  <c r="B12" i="2" l="1"/>
  <c r="B7" i="7"/>
  <c r="B10" i="7" s="1"/>
  <c r="B16" i="2" s="1"/>
  <c r="B14" i="2" l="1"/>
  <c r="B11" i="7"/>
  <c r="B17" i="2" s="1"/>
</calcChain>
</file>

<file path=xl/sharedStrings.xml><?xml version="1.0" encoding="utf-8"?>
<sst xmlns="http://schemas.openxmlformats.org/spreadsheetml/2006/main" count="160" uniqueCount="92">
  <si>
    <t>📌 ORÇAMENTO DE OBRA — COMO USAR ESTA PLANILHA</t>
  </si>
  <si>
    <t>📌 Início</t>
  </si>
  <si>
    <t>📊 Dashboard</t>
  </si>
  <si>
    <t>📁 Projeto</t>
  </si>
  <si>
    <t>🧱 Materiais</t>
  </si>
  <si>
    <t>👷 Mão de Obra</t>
  </si>
  <si>
    <t>💰 Custos Adic.</t>
  </si>
  <si>
    <t>📈 Resumo</t>
  </si>
  <si>
    <t>📄 Condições</t>
  </si>
  <si>
    <t>1️⃣  Dados do Projeto</t>
  </si>
  <si>
    <t>Preencha o nome do projeto, cliente, localização e datas na aba "Projeto".</t>
  </si>
  <si>
    <t>2️⃣  Materiais e Mão de Obra</t>
  </si>
  <si>
    <t>Insira quantidades e preços nas abas "Materiais" e "Mão de Obra" — os subtotais são calculados automaticamente.</t>
  </si>
  <si>
    <t>3️⃣  Margem / BDI</t>
  </si>
  <si>
    <t>Na aba "Resumo", escolha se a margem incide sobre o Total ou só sobre a Mão de Obra, e defina a percentagem.</t>
  </si>
  <si>
    <t>4️⃣  Dashboard e Impressão</t>
  </si>
  <si>
    <t>Veja o resumo final no "Dashboard" e use Ctrl+P para exportar em PDF (já configurado para caber numa página).</t>
  </si>
  <si>
    <t>LEGENDA DE CORES</t>
  </si>
  <si>
    <t>Célula amarela = preencher manualmente</t>
  </si>
  <si>
    <t>Vermelho = dado obrigatório em falta / alerta de custo elevado</t>
  </si>
  <si>
    <t>Amarelo forte = linha com informação incompleta</t>
  </si>
  <si>
    <t>ORÇAMENTO DE OBRA - DASHBOARD</t>
  </si>
  <si>
    <t>PROJETO</t>
  </si>
  <si>
    <t>Nome Projeto:</t>
  </si>
  <si>
    <t>Cliente:</t>
  </si>
  <si>
    <t>Localização:</t>
  </si>
  <si>
    <t>Data Orçamento:</t>
  </si>
  <si>
    <t>Engenheiro:</t>
  </si>
  <si>
    <t>RESUMO FINANCEIRO</t>
  </si>
  <si>
    <t>Subtotal Materiais:</t>
  </si>
  <si>
    <t>Subtotal Mão Obra:</t>
  </si>
  <si>
    <t>Subtotal Custos Adic:</t>
  </si>
  <si>
    <t>Subtotal ANTES de Margem:</t>
  </si>
  <si>
    <t>% Margem Lucro:</t>
  </si>
  <si>
    <t>Valor Margem:</t>
  </si>
  <si>
    <t>TOTAL ORÇAMENTO:</t>
  </si>
  <si>
    <t>DADOS DO PROJETO</t>
  </si>
  <si>
    <t>Nome Projeto</t>
  </si>
  <si>
    <t>Cliente</t>
  </si>
  <si>
    <t>Localização</t>
  </si>
  <si>
    <t>Data Orçamento</t>
  </si>
  <si>
    <t>25/06/2026</t>
  </si>
  <si>
    <t>Engenheiro/Responsável</t>
  </si>
  <si>
    <t>Telefone Cliente</t>
  </si>
  <si>
    <t>Email Cliente</t>
  </si>
  <si>
    <t>Data Início Previsto</t>
  </si>
  <si>
    <t>Data Conclusão Prevista</t>
  </si>
  <si>
    <t>Descrição Projeto</t>
  </si>
  <si>
    <t>MATERIAIS DE CONSTRUÇÃO</t>
  </si>
  <si>
    <t>Categoria</t>
  </si>
  <si>
    <t>Material</t>
  </si>
  <si>
    <t>Unidade</t>
  </si>
  <si>
    <t>Quantidade</t>
  </si>
  <si>
    <t>Preço Unit (Kz)</t>
  </si>
  <si>
    <t>Subtotal (Kz)</t>
  </si>
  <si>
    <t>Observação</t>
  </si>
  <si>
    <t>ESTRUTURA</t>
  </si>
  <si>
    <t>ALVENARIA</t>
  </si>
  <si>
    <t>REVESTIMENTO</t>
  </si>
  <si>
    <t>COBERTA</t>
  </si>
  <si>
    <t>ACABAMENTO</t>
  </si>
  <si>
    <t>TOTAL MATERIAIS</t>
  </si>
  <si>
    <t>MÃO DE OBRA</t>
  </si>
  <si>
    <t>Profissão</t>
  </si>
  <si>
    <t>Dias Trabalho</t>
  </si>
  <si>
    <t>Custo Diário (Kz)</t>
  </si>
  <si>
    <t>TOTAL MÃO DE OBRA</t>
  </si>
  <si>
    <t>CUSTOS ADICIONAIS</t>
  </si>
  <si>
    <t>Descrição</t>
  </si>
  <si>
    <t>Valor (Kz)</t>
  </si>
  <si>
    <t>TOTAL CUSTOS ADICIONAIS</t>
  </si>
  <si>
    <t>RESUMO ORÇAMENTÁRIO</t>
  </si>
  <si>
    <t>Materiais</t>
  </si>
  <si>
    <t>Mão de Obra</t>
  </si>
  <si>
    <t>Custos Adicionais</t>
  </si>
  <si>
    <t>SUBTOTAL</t>
  </si>
  <si>
    <t>Base Cálculo Margem/BDI</t>
  </si>
  <si>
    <t>Total</t>
  </si>
  <si>
    <t>MARGEM EMPRESA (%)</t>
  </si>
  <si>
    <t>VALOR MARGEM</t>
  </si>
  <si>
    <t>PREÇO FINAL (COM MARGEM)</t>
  </si>
  <si>
    <t>TERMOS E CONDIÇÕES</t>
  </si>
  <si>
    <t>Validade Orçamento:</t>
  </si>
  <si>
    <t>30 dias</t>
  </si>
  <si>
    <t>Prazo Pagamento:</t>
  </si>
  <si>
    <t>Entrada 50% | Saldo Conclusão</t>
  </si>
  <si>
    <t>Forma Pagamento:</t>
  </si>
  <si>
    <t>Transferência Bancária / Dinheiro</t>
  </si>
  <si>
    <t>Prazinho Execução:</t>
  </si>
  <si>
    <t>Observações Especiais:</t>
  </si>
  <si>
    <t>Responsável Assinatura:</t>
  </si>
  <si>
    <t>Data Assinatura: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</si>
</sst>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Kz&quot;"/>
    <numFmt numFmtId="165" formatCode="0.00\%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9"/>
      <color rgb="FFFFFFFF"/>
      <name val="Calibri"/>
      <charset val="1"/>
    </font>
    <font>
      <b/>
      <sz val="12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0"/>
      <name val="Cambria"/>
      <charset val="1"/>
    </font>
    <font>
      <b/>
      <sz val="10"/>
      <color rgb="FFFFFFFF"/>
      <name val="Cambria"/>
      <charset val="1"/>
    </font>
    <font>
      <b/>
      <sz val="11"/>
      <name val="Calibri"/>
      <charset val="1"/>
    </font>
    <font>
      <b/>
      <sz val="12"/>
      <color rgb="FFFFFFFF"/>
      <name val="Cambria"/>
      <charset val="1"/>
    </font>
    <font>
      <u/>
      <sz val="11"/>
      <color theme="10"/>
      <name val="Calibri"/>
      <family val="2"/>
      <charset val="1"/>
    </font>
    <font>
      <b/>
      <sz val="11"/>
      <color theme="0" tint="-4.9989318521683403E-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67E22"/>
        <bgColor rgb="FFFF9900"/>
      </patternFill>
    </fill>
    <fill>
      <patternFill patternType="solid">
        <fgColor rgb="FFFDEBD0"/>
        <bgColor rgb="FFFFF2CC"/>
      </patternFill>
    </fill>
    <fill>
      <patternFill patternType="solid">
        <fgColor rgb="FFFFF2CC"/>
        <bgColor rgb="FFFDEBD0"/>
      </patternFill>
    </fill>
    <fill>
      <patternFill patternType="solid">
        <fgColor rgb="FFF1948A"/>
        <bgColor rgb="FFFF99CC"/>
      </patternFill>
    </fill>
    <fill>
      <patternFill patternType="solid">
        <fgColor rgb="FFF9E79F"/>
        <bgColor rgb="FFFDEBD0"/>
      </patternFill>
    </fill>
    <fill>
      <patternFill patternType="solid">
        <fgColor rgb="FFF0F0F0"/>
        <bgColor rgb="FFFDEBD0"/>
      </patternFill>
    </fill>
    <fill>
      <patternFill patternType="solid">
        <fgColor rgb="FFFFFFCC"/>
        <bgColor rgb="FFFFF2CC"/>
      </patternFill>
    </fill>
    <fill>
      <patternFill patternType="solid">
        <fgColor rgb="FFBA4A00"/>
        <bgColor rgb="FF99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7" fillId="10" borderId="0" xfId="0" applyFont="1" applyFill="1" applyBorder="1"/>
    <xf numFmtId="0" fontId="8" fillId="4" borderId="0" xfId="0" applyFont="1" applyFill="1" applyBorder="1"/>
    <xf numFmtId="0" fontId="0" fillId="9" borderId="1" xfId="0" applyFill="1" applyBorder="1" applyAlignment="1">
      <alignment horizontal="left" vertical="top" wrapText="1"/>
    </xf>
    <xf numFmtId="0" fontId="6" fillId="2" borderId="0" xfId="0" applyFont="1" applyFill="1" applyBorder="1"/>
    <xf numFmtId="0" fontId="7" fillId="3" borderId="0" xfId="0" applyFont="1" applyFill="1" applyBorder="1"/>
    <xf numFmtId="0" fontId="6" fillId="2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5" fillId="2" borderId="0" xfId="0" applyFont="1" applyFill="1" applyBorder="1"/>
    <xf numFmtId="0" fontId="4" fillId="0" borderId="0" xfId="0" applyFont="1" applyBorder="1" applyAlignment="1">
      <alignment vertical="top" wrapText="1"/>
    </xf>
    <xf numFmtId="0" fontId="3" fillId="4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0" borderId="0" xfId="0" applyFont="1"/>
    <xf numFmtId="0" fontId="0" fillId="0" borderId="1" xfId="0" applyBorder="1"/>
    <xf numFmtId="0" fontId="8" fillId="8" borderId="0" xfId="0" applyFont="1" applyFill="1"/>
    <xf numFmtId="164" fontId="0" fillId="8" borderId="1" xfId="0" applyNumberFormat="1" applyFill="1" applyBorder="1"/>
    <xf numFmtId="0" fontId="9" fillId="0" borderId="0" xfId="0" applyFont="1"/>
    <xf numFmtId="165" fontId="0" fillId="0" borderId="1" xfId="0" applyNumberFormat="1" applyBorder="1"/>
    <xf numFmtId="0" fontId="0" fillId="9" borderId="1" xfId="0" applyFill="1" applyBorder="1"/>
    <xf numFmtId="0" fontId="0" fillId="9" borderId="1" xfId="0" applyFont="1" applyFill="1" applyBorder="1"/>
    <xf numFmtId="0" fontId="10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4" fontId="0" fillId="9" borderId="1" xfId="0" applyNumberFormat="1" applyFill="1" applyBorder="1"/>
    <xf numFmtId="164" fontId="0" fillId="9" borderId="1" xfId="0" applyNumberFormat="1" applyFill="1" applyBorder="1"/>
    <xf numFmtId="164" fontId="0" fillId="0" borderId="0" xfId="0" applyNumberFormat="1"/>
    <xf numFmtId="164" fontId="7" fillId="10" borderId="1" xfId="0" applyNumberFormat="1" applyFont="1" applyFill="1" applyBorder="1"/>
    <xf numFmtId="3" fontId="0" fillId="9" borderId="1" xfId="0" applyNumberFormat="1" applyFill="1" applyBorder="1"/>
    <xf numFmtId="164" fontId="0" fillId="0" borderId="1" xfId="0" applyNumberFormat="1" applyBorder="1"/>
    <xf numFmtId="0" fontId="11" fillId="0" borderId="0" xfId="0" applyFont="1"/>
    <xf numFmtId="0" fontId="0" fillId="5" borderId="0" xfId="0" applyFont="1" applyFill="1" applyAlignment="1">
      <alignment horizontal="left"/>
    </xf>
    <xf numFmtId="165" fontId="0" fillId="9" borderId="1" xfId="0" applyNumberFormat="1" applyFill="1" applyBorder="1"/>
    <xf numFmtId="0" fontId="12" fillId="10" borderId="0" xfId="0" applyFont="1" applyFill="1"/>
    <xf numFmtId="164" fontId="12" fillId="10" borderId="1" xfId="0" applyNumberFormat="1" applyFont="1" applyFill="1" applyBorder="1"/>
    <xf numFmtId="0" fontId="0" fillId="9" borderId="1" xfId="0" applyFont="1" applyFill="1" applyBorder="1" applyAlignment="1">
      <alignment horizontal="left" vertical="top" wrapText="1"/>
    </xf>
    <xf numFmtId="0" fontId="0" fillId="0" borderId="0" xfId="0" applyAlignment="1"/>
    <xf numFmtId="0" fontId="7" fillId="3" borderId="0" xfId="0" applyFont="1" applyFill="1" applyBorder="1" applyAlignment="1">
      <alignment horizontal="center"/>
    </xf>
    <xf numFmtId="0" fontId="14" fillId="3" borderId="0" xfId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8">
    <dxf>
      <fill>
        <patternFill>
          <bgColor rgb="FFF9E79F"/>
        </patternFill>
      </fill>
    </dxf>
    <dxf>
      <fill>
        <patternFill>
          <bgColor rgb="FFF9E79F"/>
        </patternFill>
      </fill>
    </dxf>
    <dxf>
      <fill>
        <patternFill>
          <bgColor rgb="FFF9E79F"/>
        </patternFill>
      </fill>
    </dxf>
    <dxf>
      <fill>
        <patternFill>
          <bgColor rgb="FFF1948A"/>
        </patternFill>
      </fill>
    </dxf>
    <dxf>
      <fill>
        <patternFill>
          <bgColor rgb="FFF1948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F1948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0F0F0"/>
      <rgbColor rgb="FF660066"/>
      <rgbColor rgb="FFF1948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2CC"/>
      <rgbColor rgb="FFF9E79F"/>
      <rgbColor rgb="FF99CCFF"/>
      <rgbColor rgb="FFFF99CC"/>
      <rgbColor rgb="FFCC99FF"/>
      <rgbColor rgb="FFFDEBD0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BA4A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MaoObra!$B$4:$B$25</c:f>
              <c:numCache>
                <c:formatCode>General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1F54-4760-85F6-B7976DE688B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MaoObra!$C$4:$C$25</c:f>
              <c:numCache>
                <c:formatCode>#,##0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1F54-4760-85F6-B7976DE688B8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MaoObra!$D$4:$D$25</c:f>
              <c:numCache>
                <c:formatCode>#,##0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2-1F54-4760-85F6-B7976DE688B8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MaoObra!$E$4:$E$25</c:f>
              <c:numCache>
                <c:formatCode>#,##0.00" Kz"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3-1F54-4760-85F6-B7976DE688B8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MaoObra!$F$4:$F$25</c:f>
              <c:numCache>
                <c:formatCode>#,##0.00" Kz"</c:formatCode>
                <c:ptCount val="22"/>
                <c:pt idx="1">
                  <c:v>0</c:v>
                </c:pt>
                <c:pt idx="2">
                  <c:v>0</c:v>
                </c:pt>
                <c:pt idx="3">
                  <c:v>444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7777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54-4760-85F6-B7976DE688B8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MaoObra!$A$4:$A$25</c:f>
              <c:strCache>
                <c:ptCount val="22"/>
                <c:pt idx="0">
                  <c:v>ESTRUTURA</c:v>
                </c:pt>
                <c:pt idx="5">
                  <c:v>ALVENARIA</c:v>
                </c:pt>
                <c:pt idx="10">
                  <c:v>REVESTIMENTO</c:v>
                </c:pt>
                <c:pt idx="15">
                  <c:v>ACABAMENTO</c:v>
                </c:pt>
                <c:pt idx="21">
                  <c:v>TOTAL MÃO DE OBRA</c:v>
                </c:pt>
              </c:strCache>
            </c:strRef>
          </c:cat>
          <c:val>
            <c:numRef>
              <c:f>MaoObra!$G$4:$G$25</c:f>
              <c:numCache>
                <c:formatCode>General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5-1F54-4760-85F6-B7976DE68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49893</xdr:colOff>
      <xdr:row>7</xdr:row>
      <xdr:rowOff>111579</xdr:rowOff>
    </xdr:from>
    <xdr:to>
      <xdr:col>17</xdr:col>
      <xdr:colOff>367393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723DBD-F9FB-4693-B6C8-6A203EE74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orcamento_final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orcamento_final.xlsx" TargetMode="External"/><Relationship Id="rId3" Type="http://schemas.openxmlformats.org/officeDocument/2006/relationships/hyperlink" Target="orcamento_final.xlsx" TargetMode="External"/><Relationship Id="rId7" Type="http://schemas.openxmlformats.org/officeDocument/2006/relationships/hyperlink" Target="orcamento_final.xlsx" TargetMode="External"/><Relationship Id="rId2" Type="http://schemas.openxmlformats.org/officeDocument/2006/relationships/hyperlink" Target="orcamento_final.xlsx" TargetMode="External"/><Relationship Id="rId1" Type="http://schemas.openxmlformats.org/officeDocument/2006/relationships/hyperlink" Target="orcamento_final.xlsx" TargetMode="External"/><Relationship Id="rId6" Type="http://schemas.openxmlformats.org/officeDocument/2006/relationships/hyperlink" Target="orcamento_final.xlsx" TargetMode="External"/><Relationship Id="rId5" Type="http://schemas.openxmlformats.org/officeDocument/2006/relationships/hyperlink" Target="orcamento_final.xlsx" TargetMode="External"/><Relationship Id="rId4" Type="http://schemas.openxmlformats.org/officeDocument/2006/relationships/hyperlink" Target="orcamento_fina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7E22"/>
  </sheetPr>
  <dimension ref="A1:H19"/>
  <sheetViews>
    <sheetView showGridLines="0" zoomScaleNormal="100" workbookViewId="0">
      <selection activeCell="B4" sqref="B4:F4"/>
    </sheetView>
  </sheetViews>
  <sheetFormatPr defaultColWidth="8.6328125" defaultRowHeight="14.5" x14ac:dyDescent="0.35"/>
  <cols>
    <col min="1" max="1" width="11.1796875" customWidth="1"/>
    <col min="2" max="6" width="20" customWidth="1"/>
    <col min="7" max="7" width="16.7265625" customWidth="1"/>
    <col min="8" max="8" width="20.81640625" customWidth="1"/>
  </cols>
  <sheetData>
    <row r="1" spans="1:8" ht="27.7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9.5" customHeight="1" x14ac:dyDescent="0.35">
      <c r="A2" s="12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41" t="s">
        <v>7</v>
      </c>
      <c r="H2" s="41" t="s">
        <v>8</v>
      </c>
    </row>
    <row r="3" spans="1:8" x14ac:dyDescent="0.35">
      <c r="A3" s="39"/>
      <c r="B3" s="39"/>
      <c r="C3" s="39"/>
      <c r="D3" s="39"/>
      <c r="E3" s="39"/>
      <c r="F3" s="39"/>
      <c r="G3" s="39"/>
      <c r="H3" s="39"/>
    </row>
    <row r="4" spans="1:8" ht="15.5" x14ac:dyDescent="0.35">
      <c r="B4" s="10" t="s">
        <v>9</v>
      </c>
      <c r="C4" s="10"/>
      <c r="D4" s="10"/>
      <c r="E4" s="10"/>
      <c r="F4" s="10"/>
    </row>
    <row r="5" spans="1:8" ht="30" customHeight="1" x14ac:dyDescent="0.35">
      <c r="B5" s="9" t="s">
        <v>10</v>
      </c>
      <c r="C5" s="9"/>
      <c r="D5" s="9"/>
      <c r="E5" s="9"/>
      <c r="F5" s="9"/>
    </row>
    <row r="7" spans="1:8" ht="15.5" x14ac:dyDescent="0.35">
      <c r="B7" s="10" t="s">
        <v>11</v>
      </c>
      <c r="C7" s="10"/>
      <c r="D7" s="10"/>
      <c r="E7" s="10"/>
      <c r="F7" s="10"/>
    </row>
    <row r="8" spans="1:8" ht="30" customHeight="1" x14ac:dyDescent="0.35">
      <c r="B8" s="9" t="s">
        <v>12</v>
      </c>
      <c r="C8" s="9"/>
      <c r="D8" s="9"/>
      <c r="E8" s="9"/>
      <c r="F8" s="9"/>
    </row>
    <row r="10" spans="1:8" ht="15.5" x14ac:dyDescent="0.35">
      <c r="B10" s="10" t="s">
        <v>13</v>
      </c>
      <c r="C10" s="10"/>
      <c r="D10" s="10"/>
      <c r="E10" s="10"/>
      <c r="F10" s="10"/>
    </row>
    <row r="11" spans="1:8" ht="30" customHeight="1" x14ac:dyDescent="0.35">
      <c r="B11" s="9" t="s">
        <v>14</v>
      </c>
      <c r="C11" s="9"/>
      <c r="D11" s="9"/>
      <c r="E11" s="9"/>
      <c r="F11" s="9"/>
    </row>
    <row r="13" spans="1:8" ht="15.5" x14ac:dyDescent="0.35">
      <c r="B13" s="10" t="s">
        <v>15</v>
      </c>
      <c r="C13" s="10"/>
      <c r="D13" s="10"/>
      <c r="E13" s="10"/>
      <c r="F13" s="10"/>
    </row>
    <row r="14" spans="1:8" ht="30" customHeight="1" x14ac:dyDescent="0.35">
      <c r="B14" s="9" t="s">
        <v>16</v>
      </c>
      <c r="C14" s="9"/>
      <c r="D14" s="9"/>
      <c r="E14" s="9"/>
      <c r="F14" s="9"/>
    </row>
    <row r="16" spans="1:8" x14ac:dyDescent="0.35">
      <c r="B16" s="8" t="s">
        <v>17</v>
      </c>
      <c r="C16" s="8"/>
      <c r="D16" s="8"/>
      <c r="E16" s="8"/>
      <c r="F16" s="8"/>
    </row>
    <row r="17" spans="2:6" x14ac:dyDescent="0.35">
      <c r="B17" s="13"/>
      <c r="C17" s="7" t="s">
        <v>18</v>
      </c>
      <c r="D17" s="7"/>
      <c r="E17" s="7"/>
      <c r="F17" s="7"/>
    </row>
    <row r="18" spans="2:6" x14ac:dyDescent="0.35">
      <c r="B18" s="14"/>
      <c r="C18" s="7" t="s">
        <v>19</v>
      </c>
      <c r="D18" s="7"/>
      <c r="E18" s="7"/>
      <c r="F18" s="7"/>
    </row>
    <row r="19" spans="2:6" x14ac:dyDescent="0.35">
      <c r="B19" s="15"/>
      <c r="C19" s="7" t="s">
        <v>20</v>
      </c>
      <c r="D19" s="7"/>
      <c r="E19" s="7"/>
      <c r="F19" s="7"/>
    </row>
  </sheetData>
  <mergeCells count="13">
    <mergeCell ref="C17:F17"/>
    <mergeCell ref="C18:F18"/>
    <mergeCell ref="C19:F19"/>
    <mergeCell ref="A1:H1"/>
    <mergeCell ref="B10:F10"/>
    <mergeCell ref="B11:F11"/>
    <mergeCell ref="B13:F13"/>
    <mergeCell ref="B14:F14"/>
    <mergeCell ref="B16:F16"/>
    <mergeCell ref="B4:F4"/>
    <mergeCell ref="B5:F5"/>
    <mergeCell ref="B7:F7"/>
    <mergeCell ref="B8:F8"/>
  </mergeCells>
  <hyperlinks>
    <hyperlink ref="A2" r:id="rId1" location="'Comece%20Aqui'!A1" xr:uid="{00000000-0004-0000-0000-000000000000}"/>
    <hyperlink ref="B2" location="Dashboard!A1" display="📊 Dashboard" xr:uid="{00000000-0004-0000-0000-000001000000}"/>
    <hyperlink ref="C2" location="Projeto!A1" display="📁 Projeto" xr:uid="{00000000-0004-0000-0000-000002000000}"/>
    <hyperlink ref="D2" location="Materiais!A1" display="🧱 Materiais" xr:uid="{00000000-0004-0000-0000-000003000000}"/>
    <hyperlink ref="E2" location="MaoObra!A1" display="👷 Mão de Obra" xr:uid="{00000000-0004-0000-0000-000004000000}"/>
    <hyperlink ref="F2" location="CustosAdicionais!A1" display="💰 Custos Adic." xr:uid="{00000000-0004-0000-0000-000005000000}"/>
    <hyperlink ref="G2" location="Resume!A1" display="📈 Resumo" xr:uid="{00000000-0004-0000-0000-000006000000}"/>
    <hyperlink ref="H2" location="Condicoes!A1" display="📄 Condições" xr:uid="{00000000-0004-0000-00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7E22"/>
    <pageSetUpPr fitToPage="1"/>
  </sheetPr>
  <dimension ref="A1:H17"/>
  <sheetViews>
    <sheetView showGridLines="0" topLeftCell="A10" zoomScaleNormal="100" workbookViewId="0">
      <selection activeCell="F23" sqref="F23"/>
    </sheetView>
  </sheetViews>
  <sheetFormatPr defaultColWidth="8.6328125" defaultRowHeight="14.5" x14ac:dyDescent="0.35"/>
  <cols>
    <col min="1" max="5" width="18" customWidth="1"/>
    <col min="6" max="6" width="28.26953125" customWidth="1"/>
  </cols>
  <sheetData>
    <row r="1" spans="1:8" ht="27.75" customHeight="1" x14ac:dyDescent="0.35">
      <c r="A1" s="6" t="s">
        <v>21</v>
      </c>
      <c r="B1" s="6"/>
      <c r="C1" s="6"/>
      <c r="D1" s="6"/>
      <c r="E1" s="6"/>
      <c r="F1" s="6"/>
      <c r="G1" s="6"/>
      <c r="H1" s="6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40" t="s">
        <v>22</v>
      </c>
      <c r="B3" s="40"/>
      <c r="C3" s="40"/>
      <c r="D3" s="40"/>
      <c r="E3" s="40"/>
      <c r="F3" s="40"/>
      <c r="G3" s="40"/>
      <c r="H3" s="40"/>
    </row>
    <row r="4" spans="1:8" x14ac:dyDescent="0.35">
      <c r="A4" s="16" t="s">
        <v>23</v>
      </c>
      <c r="B4" s="17">
        <f>Projeto!B3</f>
        <v>0</v>
      </c>
    </row>
    <row r="5" spans="1:8" x14ac:dyDescent="0.35">
      <c r="A5" s="16" t="s">
        <v>24</v>
      </c>
      <c r="B5" s="17">
        <f>Projeto!B4</f>
        <v>0</v>
      </c>
    </row>
    <row r="6" spans="1:8" x14ac:dyDescent="0.35">
      <c r="A6" s="16" t="s">
        <v>25</v>
      </c>
      <c r="B6" s="17">
        <f>Projeto!B5</f>
        <v>0</v>
      </c>
    </row>
    <row r="7" spans="1:8" x14ac:dyDescent="0.35">
      <c r="A7" s="16" t="s">
        <v>26</v>
      </c>
      <c r="B7" s="17" t="str">
        <f>Projeto!B6</f>
        <v>25/06/2026</v>
      </c>
    </row>
    <row r="8" spans="1:8" x14ac:dyDescent="0.35">
      <c r="A8" s="16" t="s">
        <v>27</v>
      </c>
      <c r="B8" s="17">
        <f>Projeto!B7</f>
        <v>0</v>
      </c>
    </row>
    <row r="10" spans="1:8" x14ac:dyDescent="0.35">
      <c r="A10" s="5" t="s">
        <v>28</v>
      </c>
      <c r="B10" s="5"/>
      <c r="C10" s="5"/>
      <c r="D10" s="5"/>
      <c r="E10" s="5"/>
      <c r="F10" s="5"/>
    </row>
    <row r="11" spans="1:8" x14ac:dyDescent="0.35">
      <c r="A11" s="18" t="s">
        <v>29</v>
      </c>
      <c r="B11" s="19">
        <f>Materiais!F35</f>
        <v>0</v>
      </c>
    </row>
    <row r="12" spans="1:8" x14ac:dyDescent="0.35">
      <c r="A12" s="18" t="s">
        <v>30</v>
      </c>
      <c r="B12" s="19">
        <f>MaoObra!F25</f>
        <v>8221</v>
      </c>
    </row>
    <row r="13" spans="1:8" x14ac:dyDescent="0.35">
      <c r="A13" s="18" t="s">
        <v>31</v>
      </c>
      <c r="B13" s="19">
        <f>CustosAdicionais!E15</f>
        <v>0</v>
      </c>
    </row>
    <row r="14" spans="1:8" x14ac:dyDescent="0.35">
      <c r="A14" s="18" t="s">
        <v>32</v>
      </c>
      <c r="B14" s="19">
        <f>Resume!B7</f>
        <v>8221</v>
      </c>
    </row>
    <row r="15" spans="1:8" x14ac:dyDescent="0.35">
      <c r="A15" s="20" t="s">
        <v>33</v>
      </c>
      <c r="B15" s="21">
        <f>Resume!B9</f>
        <v>25</v>
      </c>
    </row>
    <row r="16" spans="1:8" x14ac:dyDescent="0.35">
      <c r="A16" s="18" t="s">
        <v>34</v>
      </c>
      <c r="B16" s="19">
        <f>Resume!B10</f>
        <v>2055.25</v>
      </c>
    </row>
    <row r="17" spans="1:2" x14ac:dyDescent="0.35">
      <c r="A17" s="18" t="s">
        <v>35</v>
      </c>
      <c r="B17" s="19">
        <f>Resume!B11</f>
        <v>10276.25</v>
      </c>
    </row>
  </sheetData>
  <mergeCells count="3">
    <mergeCell ref="A10:F10"/>
    <mergeCell ref="A3:H3"/>
    <mergeCell ref="A1:H1"/>
  </mergeCells>
  <conditionalFormatting sqref="B12">
    <cfRule type="expression" dxfId="7" priority="2">
      <formula>$B$12&gt;0.4*$B$17</formula>
    </cfRule>
    <cfRule type="expression" dxfId="6" priority="3">
      <formula>$B$12&gt;0.3*$B$17</formula>
    </cfRule>
  </conditionalFormatting>
  <hyperlinks>
    <hyperlink ref="A2" r:id="rId1" location="'Comece%20Aqui'!A1" xr:uid="{00000000-0004-0000-0100-000000000000}"/>
    <hyperlink ref="B2" r:id="rId2" location="'Dashboard'!A1" xr:uid="{00000000-0004-0000-0100-000001000000}"/>
    <hyperlink ref="C2" r:id="rId3" location="'Projeto'!A1" xr:uid="{00000000-0004-0000-0100-000002000000}"/>
    <hyperlink ref="D2" r:id="rId4" location="'Materiais'!A1" xr:uid="{00000000-0004-0000-0100-000003000000}"/>
    <hyperlink ref="E2" r:id="rId5" location="'MaoObra'!A1" xr:uid="{00000000-0004-0000-0100-000004000000}"/>
    <hyperlink ref="F2" r:id="rId6" location="'CustosAdicionais'!A1" xr:uid="{00000000-0004-0000-0100-000005000000}"/>
    <hyperlink ref="G2" r:id="rId7" location="'Resume'!A1" xr:uid="{00000000-0004-0000-0100-000006000000}"/>
    <hyperlink ref="H2" r:id="rId8" location="'Condicoes'!A1" xr:uid="{00000000-0004-0000-0100-000007000000}"/>
  </hyperlinks>
  <pageMargins left="0.5" right="0.5" top="0.6" bottom="0.6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H12"/>
  <sheetViews>
    <sheetView zoomScale="80" zoomScaleNormal="80" workbookViewId="0">
      <selection activeCell="G17" sqref="G17"/>
    </sheetView>
  </sheetViews>
  <sheetFormatPr defaultColWidth="8.6328125" defaultRowHeight="14.5" x14ac:dyDescent="0.35"/>
  <cols>
    <col min="1" max="4" width="20" customWidth="1"/>
    <col min="5" max="5" width="21.7265625" customWidth="1"/>
    <col min="6" max="6" width="20.90625" customWidth="1"/>
    <col min="7" max="7" width="22.81640625" customWidth="1"/>
    <col min="8" max="8" width="19.453125" customWidth="1"/>
  </cols>
  <sheetData>
    <row r="1" spans="1:8" ht="27.75" customHeight="1" x14ac:dyDescent="0.35">
      <c r="A1" s="43" t="s">
        <v>36</v>
      </c>
      <c r="B1" s="43"/>
      <c r="C1" s="43"/>
      <c r="D1" s="43"/>
      <c r="E1" s="43"/>
      <c r="F1" s="43"/>
      <c r="G1" s="43"/>
      <c r="H1" s="43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16" t="s">
        <v>37</v>
      </c>
      <c r="B3" s="22"/>
    </row>
    <row r="4" spans="1:8" x14ac:dyDescent="0.35">
      <c r="A4" s="16" t="s">
        <v>38</v>
      </c>
      <c r="B4" s="22"/>
    </row>
    <row r="5" spans="1:8" x14ac:dyDescent="0.35">
      <c r="A5" s="16" t="s">
        <v>39</v>
      </c>
      <c r="B5" s="22"/>
    </row>
    <row r="6" spans="1:8" x14ac:dyDescent="0.35">
      <c r="A6" s="16" t="s">
        <v>40</v>
      </c>
      <c r="B6" s="23" t="s">
        <v>41</v>
      </c>
    </row>
    <row r="7" spans="1:8" x14ac:dyDescent="0.35">
      <c r="A7" s="16" t="s">
        <v>42</v>
      </c>
      <c r="B7" s="23"/>
    </row>
    <row r="8" spans="1:8" x14ac:dyDescent="0.35">
      <c r="A8" s="16" t="s">
        <v>43</v>
      </c>
      <c r="B8" s="23"/>
    </row>
    <row r="9" spans="1:8" x14ac:dyDescent="0.35">
      <c r="A9" s="16" t="s">
        <v>44</v>
      </c>
      <c r="B9" s="23"/>
    </row>
    <row r="10" spans="1:8" x14ac:dyDescent="0.35">
      <c r="A10" s="16" t="s">
        <v>45</v>
      </c>
      <c r="B10" s="23"/>
    </row>
    <row r="11" spans="1:8" x14ac:dyDescent="0.35">
      <c r="A11" s="16" t="s">
        <v>46</v>
      </c>
      <c r="B11" s="23"/>
    </row>
    <row r="12" spans="1:8" ht="39.75" customHeight="1" x14ac:dyDescent="0.35">
      <c r="A12" s="16" t="s">
        <v>47</v>
      </c>
      <c r="B12" s="3"/>
      <c r="C12" s="3"/>
      <c r="D12" s="3"/>
    </row>
  </sheetData>
  <mergeCells count="2">
    <mergeCell ref="B12:D12"/>
    <mergeCell ref="A1:H1"/>
  </mergeCells>
  <conditionalFormatting sqref="B3">
    <cfRule type="expression" dxfId="5" priority="2">
      <formula>B3=""</formula>
    </cfRule>
  </conditionalFormatting>
  <conditionalFormatting sqref="B4">
    <cfRule type="expression" dxfId="4" priority="3">
      <formula>B4=""</formula>
    </cfRule>
  </conditionalFormatting>
  <conditionalFormatting sqref="B5">
    <cfRule type="expression" dxfId="3" priority="4">
      <formula>B5=""</formula>
    </cfRule>
  </conditionalFormatting>
  <hyperlinks>
    <hyperlink ref="A2" r:id="rId1" location="'Comece%20Aqui'!A1" xr:uid="{00000000-0004-0000-0200-000000000000}"/>
    <hyperlink ref="B2" r:id="rId2" location="'Dashboard'!A1" xr:uid="{00000000-0004-0000-0200-000001000000}"/>
    <hyperlink ref="C2" r:id="rId3" location="'Projeto'!A1" xr:uid="{00000000-0004-0000-0200-000002000000}"/>
    <hyperlink ref="D2" r:id="rId4" location="'Materiais'!A1" xr:uid="{00000000-0004-0000-0200-000003000000}"/>
    <hyperlink ref="E2" r:id="rId5" location="'MaoObra'!A1" xr:uid="{00000000-0004-0000-0200-000004000000}"/>
    <hyperlink ref="F2" r:id="rId6" location="'CustosAdicionais'!A1" xr:uid="{00000000-0004-0000-0200-000005000000}"/>
    <hyperlink ref="G2" r:id="rId7" location="'Resume'!A1" xr:uid="{00000000-0004-0000-0200-000006000000}"/>
    <hyperlink ref="H2" r:id="rId8" location="'Condicoes'!A1" xr:uid="{00000000-0004-0000-02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H35"/>
  <sheetViews>
    <sheetView topLeftCell="A25" zoomScaleNormal="100" workbookViewId="0">
      <selection activeCell="H11" sqref="H11"/>
    </sheetView>
  </sheetViews>
  <sheetFormatPr defaultColWidth="8.6328125" defaultRowHeight="14.5" x14ac:dyDescent="0.35"/>
  <cols>
    <col min="1" max="6" width="18" customWidth="1"/>
    <col min="7" max="7" width="23.36328125" customWidth="1"/>
    <col min="8" max="8" width="16.81640625" customWidth="1"/>
  </cols>
  <sheetData>
    <row r="1" spans="1:8" ht="27.75" customHeight="1" x14ac:dyDescent="0.35">
      <c r="A1" s="42" t="s">
        <v>48</v>
      </c>
      <c r="B1" s="42"/>
      <c r="C1" s="42"/>
      <c r="D1" s="42"/>
      <c r="E1" s="42"/>
      <c r="F1" s="42"/>
      <c r="G1" s="42"/>
      <c r="H1" s="42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24" t="s">
        <v>49</v>
      </c>
      <c r="B3" s="24" t="s">
        <v>50</v>
      </c>
      <c r="C3" s="24" t="s">
        <v>51</v>
      </c>
      <c r="D3" s="24" t="s">
        <v>52</v>
      </c>
      <c r="E3" s="24" t="s">
        <v>53</v>
      </c>
      <c r="F3" s="24" t="s">
        <v>54</v>
      </c>
      <c r="G3" s="24" t="s">
        <v>55</v>
      </c>
    </row>
    <row r="4" spans="1:8" x14ac:dyDescent="0.35">
      <c r="A4" s="2" t="s">
        <v>56</v>
      </c>
      <c r="B4" s="2"/>
      <c r="C4" s="2"/>
      <c r="D4" s="2"/>
      <c r="E4" s="2"/>
      <c r="F4" s="2"/>
      <c r="G4" s="2"/>
    </row>
    <row r="5" spans="1:8" x14ac:dyDescent="0.35">
      <c r="A5" s="23"/>
      <c r="B5" s="25"/>
      <c r="C5" s="26"/>
      <c r="D5" s="27"/>
      <c r="E5" s="28"/>
      <c r="F5" s="19">
        <f>D5*E5</f>
        <v>0</v>
      </c>
      <c r="G5" s="25"/>
    </row>
    <row r="6" spans="1:8" x14ac:dyDescent="0.35">
      <c r="A6" s="23"/>
      <c r="B6" s="25"/>
      <c r="C6" s="26"/>
      <c r="D6" s="27"/>
      <c r="E6" s="28"/>
      <c r="F6" s="19">
        <f>D6*E6</f>
        <v>0</v>
      </c>
      <c r="G6" s="25"/>
    </row>
    <row r="7" spans="1:8" x14ac:dyDescent="0.35">
      <c r="A7" s="23"/>
      <c r="B7" s="25"/>
      <c r="C7" s="26"/>
      <c r="D7" s="27"/>
      <c r="E7" s="28"/>
      <c r="F7" s="19">
        <f>D7*E7</f>
        <v>0</v>
      </c>
      <c r="G7" s="25"/>
    </row>
    <row r="8" spans="1:8" x14ac:dyDescent="0.35">
      <c r="A8" s="23"/>
      <c r="B8" s="25"/>
      <c r="C8" s="26"/>
      <c r="D8" s="27"/>
      <c r="E8" s="28"/>
      <c r="F8" s="19">
        <f>D8*E8</f>
        <v>0</v>
      </c>
      <c r="G8" s="25"/>
    </row>
    <row r="9" spans="1:8" x14ac:dyDescent="0.35">
      <c r="A9" s="23"/>
      <c r="B9" s="25"/>
      <c r="C9" s="26"/>
      <c r="D9" s="27"/>
      <c r="E9" s="28"/>
      <c r="F9" s="19">
        <f>D9*E9</f>
        <v>0</v>
      </c>
      <c r="G9" s="25"/>
    </row>
    <row r="10" spans="1:8" x14ac:dyDescent="0.35">
      <c r="A10" s="2" t="s">
        <v>57</v>
      </c>
      <c r="B10" s="2"/>
      <c r="C10" s="2"/>
      <c r="D10" s="2"/>
      <c r="E10" s="2"/>
      <c r="F10" s="2"/>
      <c r="G10" s="2"/>
    </row>
    <row r="11" spans="1:8" x14ac:dyDescent="0.35">
      <c r="A11" s="23"/>
      <c r="B11" s="25"/>
      <c r="C11" s="26"/>
      <c r="D11" s="27"/>
      <c r="E11" s="28"/>
      <c r="F11" s="19">
        <f>D11*E11</f>
        <v>0</v>
      </c>
      <c r="G11" s="25"/>
    </row>
    <row r="12" spans="1:8" x14ac:dyDescent="0.35">
      <c r="A12" s="23"/>
      <c r="B12" s="25"/>
      <c r="C12" s="26"/>
      <c r="D12" s="27"/>
      <c r="E12" s="28"/>
      <c r="F12" s="19">
        <f>D12*E12</f>
        <v>0</v>
      </c>
      <c r="G12" s="25"/>
    </row>
    <row r="13" spans="1:8" x14ac:dyDescent="0.35">
      <c r="A13" s="23"/>
      <c r="B13" s="25"/>
      <c r="C13" s="26"/>
      <c r="D13" s="27"/>
      <c r="E13" s="28"/>
      <c r="F13" s="19">
        <f>D13*E13</f>
        <v>0</v>
      </c>
      <c r="G13" s="25"/>
    </row>
    <row r="14" spans="1:8" x14ac:dyDescent="0.35">
      <c r="A14" s="23"/>
      <c r="B14" s="25"/>
      <c r="C14" s="26"/>
      <c r="D14" s="27"/>
      <c r="E14" s="28"/>
      <c r="F14" s="19">
        <f>D14*E14</f>
        <v>0</v>
      </c>
      <c r="G14" s="25"/>
    </row>
    <row r="15" spans="1:8" x14ac:dyDescent="0.35">
      <c r="A15" s="23"/>
      <c r="B15" s="25"/>
      <c r="C15" s="26"/>
      <c r="D15" s="27"/>
      <c r="E15" s="28"/>
      <c r="F15" s="19">
        <f>D15*E15</f>
        <v>0</v>
      </c>
      <c r="G15" s="25"/>
    </row>
    <row r="16" spans="1:8" x14ac:dyDescent="0.35">
      <c r="A16" s="2" t="s">
        <v>58</v>
      </c>
      <c r="B16" s="2"/>
      <c r="C16" s="2"/>
      <c r="D16" s="2"/>
      <c r="E16" s="2"/>
      <c r="F16" s="2"/>
      <c r="G16" s="2"/>
    </row>
    <row r="17" spans="1:7" x14ac:dyDescent="0.35">
      <c r="A17" s="23"/>
      <c r="B17" s="25"/>
      <c r="C17" s="26"/>
      <c r="D17" s="27"/>
      <c r="E17" s="28"/>
      <c r="F17" s="19">
        <f>D17*E17</f>
        <v>0</v>
      </c>
      <c r="G17" s="25"/>
    </row>
    <row r="18" spans="1:7" x14ac:dyDescent="0.35">
      <c r="A18" s="23"/>
      <c r="B18" s="25"/>
      <c r="C18" s="26"/>
      <c r="D18" s="27"/>
      <c r="E18" s="28"/>
      <c r="F18" s="19">
        <f>D18*E18</f>
        <v>0</v>
      </c>
      <c r="G18" s="25"/>
    </row>
    <row r="19" spans="1:7" x14ac:dyDescent="0.35">
      <c r="A19" s="23"/>
      <c r="B19" s="25"/>
      <c r="C19" s="26"/>
      <c r="D19" s="27"/>
      <c r="E19" s="28"/>
      <c r="F19" s="19">
        <f>D19*E19</f>
        <v>0</v>
      </c>
      <c r="G19" s="25"/>
    </row>
    <row r="20" spans="1:7" x14ac:dyDescent="0.35">
      <c r="A20" s="23"/>
      <c r="B20" s="25"/>
      <c r="C20" s="26"/>
      <c r="D20" s="27"/>
      <c r="E20" s="28"/>
      <c r="F20" s="19">
        <f>D20*E20</f>
        <v>0</v>
      </c>
      <c r="G20" s="25"/>
    </row>
    <row r="21" spans="1:7" x14ac:dyDescent="0.35">
      <c r="A21" s="23"/>
      <c r="B21" s="25"/>
      <c r="C21" s="26"/>
      <c r="D21" s="27"/>
      <c r="E21" s="28"/>
      <c r="F21" s="19">
        <f>D21*E21</f>
        <v>0</v>
      </c>
      <c r="G21" s="25"/>
    </row>
    <row r="22" spans="1:7" x14ac:dyDescent="0.35">
      <c r="A22" s="2" t="s">
        <v>59</v>
      </c>
      <c r="B22" s="2"/>
      <c r="C22" s="2"/>
      <c r="D22" s="2"/>
      <c r="E22" s="2"/>
      <c r="F22" s="2"/>
      <c r="G22" s="2"/>
    </row>
    <row r="23" spans="1:7" x14ac:dyDescent="0.35">
      <c r="A23" s="23"/>
      <c r="B23" s="25"/>
      <c r="C23" s="26"/>
      <c r="D23" s="27"/>
      <c r="E23" s="28"/>
      <c r="F23" s="19">
        <f>D23*E23</f>
        <v>0</v>
      </c>
      <c r="G23" s="25"/>
    </row>
    <row r="24" spans="1:7" x14ac:dyDescent="0.35">
      <c r="A24" s="23"/>
      <c r="B24" s="25"/>
      <c r="C24" s="26"/>
      <c r="D24" s="27"/>
      <c r="E24" s="28"/>
      <c r="F24" s="19">
        <f>D24*E24</f>
        <v>0</v>
      </c>
      <c r="G24" s="25"/>
    </row>
    <row r="25" spans="1:7" x14ac:dyDescent="0.35">
      <c r="A25" s="23"/>
      <c r="B25" s="25"/>
      <c r="C25" s="26"/>
      <c r="D25" s="27"/>
      <c r="E25" s="28"/>
      <c r="F25" s="19">
        <f>D25*E25</f>
        <v>0</v>
      </c>
      <c r="G25" s="25"/>
    </row>
    <row r="26" spans="1:7" x14ac:dyDescent="0.35">
      <c r="A26" s="23"/>
      <c r="B26" s="25"/>
      <c r="C26" s="26"/>
      <c r="D26" s="27"/>
      <c r="E26" s="28"/>
      <c r="F26" s="19">
        <f>D26*E26</f>
        <v>0</v>
      </c>
      <c r="G26" s="25"/>
    </row>
    <row r="27" spans="1:7" x14ac:dyDescent="0.35">
      <c r="A27" s="23"/>
      <c r="B27" s="25"/>
      <c r="C27" s="26"/>
      <c r="D27" s="27"/>
      <c r="E27" s="28"/>
      <c r="F27" s="19">
        <f>D27*E27</f>
        <v>0</v>
      </c>
      <c r="G27" s="25"/>
    </row>
    <row r="28" spans="1:7" x14ac:dyDescent="0.35">
      <c r="A28" s="2" t="s">
        <v>60</v>
      </c>
      <c r="B28" s="2"/>
      <c r="C28" s="2"/>
      <c r="D28" s="2"/>
      <c r="E28" s="2"/>
      <c r="F28" s="2"/>
      <c r="G28" s="2"/>
    </row>
    <row r="29" spans="1:7" x14ac:dyDescent="0.35">
      <c r="A29" s="23"/>
      <c r="B29" s="25"/>
      <c r="C29" s="26"/>
      <c r="D29" s="27"/>
      <c r="E29" s="28"/>
      <c r="F29" s="19">
        <f>D29*E29</f>
        <v>0</v>
      </c>
      <c r="G29" s="25"/>
    </row>
    <row r="30" spans="1:7" x14ac:dyDescent="0.35">
      <c r="A30" s="23"/>
      <c r="B30" s="25"/>
      <c r="C30" s="26"/>
      <c r="D30" s="27"/>
      <c r="E30" s="28"/>
      <c r="F30" s="19">
        <f>D30*E30</f>
        <v>0</v>
      </c>
      <c r="G30" s="25"/>
    </row>
    <row r="31" spans="1:7" x14ac:dyDescent="0.35">
      <c r="A31" s="23"/>
      <c r="B31" s="25"/>
      <c r="C31" s="26"/>
      <c r="D31" s="27"/>
      <c r="E31" s="28"/>
      <c r="F31" s="19">
        <f>D31*E31</f>
        <v>0</v>
      </c>
      <c r="G31" s="25"/>
    </row>
    <row r="32" spans="1:7" x14ac:dyDescent="0.35">
      <c r="A32" s="23"/>
      <c r="B32" s="25"/>
      <c r="C32" s="26"/>
      <c r="D32" s="27"/>
      <c r="E32" s="28"/>
      <c r="F32" s="19">
        <f>D32*E32</f>
        <v>0</v>
      </c>
      <c r="G32" s="25"/>
    </row>
    <row r="33" spans="1:7" x14ac:dyDescent="0.35">
      <c r="A33" s="23"/>
      <c r="B33" s="25"/>
      <c r="C33" s="26"/>
      <c r="D33" s="27"/>
      <c r="E33" s="28"/>
      <c r="F33" s="19">
        <f>D33*E33</f>
        <v>0</v>
      </c>
      <c r="G33" s="25"/>
    </row>
    <row r="34" spans="1:7" x14ac:dyDescent="0.35">
      <c r="F34" s="29"/>
    </row>
    <row r="35" spans="1:7" x14ac:dyDescent="0.35">
      <c r="A35" s="1" t="s">
        <v>61</v>
      </c>
      <c r="B35" s="1"/>
      <c r="C35" s="1"/>
      <c r="D35" s="1"/>
      <c r="E35" s="1"/>
      <c r="F35" s="30">
        <f>SUM(F4:F33)</f>
        <v>0</v>
      </c>
    </row>
  </sheetData>
  <mergeCells count="7">
    <mergeCell ref="A28:G28"/>
    <mergeCell ref="A35:E35"/>
    <mergeCell ref="A1:H1"/>
    <mergeCell ref="A4:G4"/>
    <mergeCell ref="A10:G10"/>
    <mergeCell ref="A16:G16"/>
    <mergeCell ref="A22:G22"/>
  </mergeCells>
  <conditionalFormatting sqref="E5:E33">
    <cfRule type="expression" dxfId="2" priority="2">
      <formula>AND($D5&lt;&gt;"",$E5="")</formula>
    </cfRule>
  </conditionalFormatting>
  <hyperlinks>
    <hyperlink ref="A2" r:id="rId1" location="'Comece%20Aqui'!A1" xr:uid="{00000000-0004-0000-0300-000000000000}"/>
    <hyperlink ref="B2" r:id="rId2" location="'Dashboard'!A1" xr:uid="{00000000-0004-0000-0300-000001000000}"/>
    <hyperlink ref="C2" r:id="rId3" location="'Projeto'!A1" xr:uid="{00000000-0004-0000-0300-000002000000}"/>
    <hyperlink ref="D2" r:id="rId4" location="'Materiais'!A1" xr:uid="{00000000-0004-0000-0300-000003000000}"/>
    <hyperlink ref="E2" r:id="rId5" location="'MaoObra'!A1" xr:uid="{00000000-0004-0000-0300-000004000000}"/>
    <hyperlink ref="F2" r:id="rId6" location="'CustosAdicionais'!A1" xr:uid="{00000000-0004-0000-0300-000005000000}"/>
    <hyperlink ref="G2" r:id="rId7" location="'Resume'!A1" xr:uid="{00000000-0004-0000-0300-000006000000}"/>
    <hyperlink ref="H2" r:id="rId8" location="'Condicoes'!A1" xr:uid="{00000000-0004-0000-03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H25"/>
  <sheetViews>
    <sheetView zoomScale="70" zoomScaleNormal="70" workbookViewId="0">
      <selection activeCell="N2" sqref="N2"/>
    </sheetView>
  </sheetViews>
  <sheetFormatPr defaultColWidth="8.6328125" defaultRowHeight="14.5" x14ac:dyDescent="0.35"/>
  <cols>
    <col min="1" max="7" width="18" customWidth="1"/>
  </cols>
  <sheetData>
    <row r="1" spans="1:8" ht="27.75" customHeight="1" x14ac:dyDescent="0.35">
      <c r="A1" s="43" t="s">
        <v>62</v>
      </c>
      <c r="B1" s="43"/>
      <c r="C1" s="43"/>
      <c r="D1" s="43"/>
      <c r="E1" s="43"/>
      <c r="F1" s="43"/>
      <c r="G1" s="43"/>
      <c r="H1" s="43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24" t="s">
        <v>49</v>
      </c>
      <c r="B3" s="24" t="s">
        <v>63</v>
      </c>
      <c r="C3" s="24" t="s">
        <v>52</v>
      </c>
      <c r="D3" s="24" t="s">
        <v>64</v>
      </c>
      <c r="E3" s="24" t="s">
        <v>65</v>
      </c>
      <c r="F3" s="24" t="s">
        <v>54</v>
      </c>
      <c r="G3" s="24" t="s">
        <v>55</v>
      </c>
    </row>
    <row r="4" spans="1:8" x14ac:dyDescent="0.35">
      <c r="A4" s="2" t="s">
        <v>56</v>
      </c>
      <c r="B4" s="2"/>
      <c r="C4" s="2"/>
      <c r="D4" s="2"/>
      <c r="E4" s="2"/>
      <c r="F4" s="2"/>
      <c r="G4" s="2"/>
    </row>
    <row r="5" spans="1:8" x14ac:dyDescent="0.35">
      <c r="A5" s="23"/>
      <c r="B5" s="23"/>
      <c r="C5" s="31"/>
      <c r="D5" s="31"/>
      <c r="E5" s="28"/>
      <c r="F5" s="19">
        <f>C5*D5*E5</f>
        <v>0</v>
      </c>
      <c r="G5" s="23"/>
    </row>
    <row r="6" spans="1:8" x14ac:dyDescent="0.35">
      <c r="A6" s="23"/>
      <c r="B6" s="23"/>
      <c r="C6" s="31"/>
      <c r="D6" s="31"/>
      <c r="E6" s="28"/>
      <c r="F6" s="19">
        <f>C6*D6*E6</f>
        <v>0</v>
      </c>
      <c r="G6" s="23"/>
    </row>
    <row r="7" spans="1:8" x14ac:dyDescent="0.35">
      <c r="A7" s="23"/>
      <c r="B7" s="23"/>
      <c r="C7" s="31"/>
      <c r="D7" s="31"/>
      <c r="E7" s="28"/>
      <c r="F7" s="19">
        <v>444</v>
      </c>
      <c r="G7" s="23"/>
    </row>
    <row r="8" spans="1:8" x14ac:dyDescent="0.35">
      <c r="A8" s="23"/>
      <c r="B8" s="23"/>
      <c r="C8" s="31"/>
      <c r="D8" s="31"/>
      <c r="E8" s="28"/>
      <c r="F8" s="19">
        <f>C8*D8*E8</f>
        <v>0</v>
      </c>
      <c r="G8" s="23"/>
    </row>
    <row r="9" spans="1:8" x14ac:dyDescent="0.35">
      <c r="A9" s="2" t="s">
        <v>57</v>
      </c>
      <c r="B9" s="2"/>
      <c r="C9" s="2"/>
      <c r="D9" s="2"/>
      <c r="E9" s="2"/>
      <c r="F9" s="2"/>
      <c r="G9" s="2"/>
    </row>
    <row r="10" spans="1:8" x14ac:dyDescent="0.35">
      <c r="A10" s="23"/>
      <c r="B10" s="23"/>
      <c r="C10" s="31"/>
      <c r="D10" s="31"/>
      <c r="E10" s="28"/>
      <c r="F10" s="19">
        <f>C10*D10*E10</f>
        <v>0</v>
      </c>
      <c r="G10" s="23"/>
    </row>
    <row r="11" spans="1:8" x14ac:dyDescent="0.35">
      <c r="A11" s="23"/>
      <c r="B11" s="23"/>
      <c r="C11" s="31"/>
      <c r="D11" s="31"/>
      <c r="E11" s="28"/>
      <c r="F11" s="19">
        <f>C11*D11*E11</f>
        <v>0</v>
      </c>
      <c r="G11" s="23"/>
    </row>
    <row r="12" spans="1:8" x14ac:dyDescent="0.35">
      <c r="A12" s="23"/>
      <c r="B12" s="23"/>
      <c r="C12" s="31"/>
      <c r="D12" s="31"/>
      <c r="E12" s="28"/>
      <c r="F12" s="19">
        <v>7777</v>
      </c>
      <c r="G12" s="23"/>
    </row>
    <row r="13" spans="1:8" x14ac:dyDescent="0.35">
      <c r="A13" s="23"/>
      <c r="B13" s="23"/>
      <c r="C13" s="31"/>
      <c r="D13" s="31"/>
      <c r="E13" s="28"/>
      <c r="F13" s="19">
        <f>C13*D13*E13</f>
        <v>0</v>
      </c>
      <c r="G13" s="23"/>
    </row>
    <row r="14" spans="1:8" x14ac:dyDescent="0.35">
      <c r="A14" s="2" t="s">
        <v>58</v>
      </c>
      <c r="B14" s="2"/>
      <c r="C14" s="2"/>
      <c r="D14" s="2"/>
      <c r="E14" s="2"/>
      <c r="F14" s="2"/>
      <c r="G14" s="2"/>
    </row>
    <row r="15" spans="1:8" x14ac:dyDescent="0.35">
      <c r="A15" s="23"/>
      <c r="B15" s="23"/>
      <c r="C15" s="31"/>
      <c r="D15" s="31"/>
      <c r="E15" s="28"/>
      <c r="F15" s="19">
        <f>C15*D15*E15</f>
        <v>0</v>
      </c>
      <c r="G15" s="23"/>
    </row>
    <row r="16" spans="1:8" x14ac:dyDescent="0.35">
      <c r="A16" s="23"/>
      <c r="B16" s="23"/>
      <c r="C16" s="31"/>
      <c r="D16" s="31"/>
      <c r="E16" s="28"/>
      <c r="F16" s="19">
        <f>C16*D16*E16</f>
        <v>0</v>
      </c>
      <c r="G16" s="23"/>
    </row>
    <row r="17" spans="1:7" x14ac:dyDescent="0.35">
      <c r="A17" s="23"/>
      <c r="B17" s="23"/>
      <c r="C17" s="31"/>
      <c r="D17" s="31"/>
      <c r="E17" s="28"/>
      <c r="F17" s="19">
        <f>C17*D17*E17</f>
        <v>0</v>
      </c>
      <c r="G17" s="23"/>
    </row>
    <row r="18" spans="1:7" x14ac:dyDescent="0.35">
      <c r="A18" s="23"/>
      <c r="B18" s="23"/>
      <c r="C18" s="31"/>
      <c r="D18" s="31"/>
      <c r="E18" s="28"/>
      <c r="F18" s="19">
        <f>C18*D18*E18</f>
        <v>0</v>
      </c>
      <c r="G18" s="23"/>
    </row>
    <row r="19" spans="1:7" x14ac:dyDescent="0.35">
      <c r="A19" s="2" t="s">
        <v>60</v>
      </c>
      <c r="B19" s="2"/>
      <c r="C19" s="2"/>
      <c r="D19" s="2"/>
      <c r="E19" s="2"/>
      <c r="F19" s="2"/>
      <c r="G19" s="2"/>
    </row>
    <row r="20" spans="1:7" x14ac:dyDescent="0.35">
      <c r="A20" s="23"/>
      <c r="B20" s="23"/>
      <c r="C20" s="31"/>
      <c r="D20" s="31"/>
      <c r="E20" s="28"/>
      <c r="F20" s="19">
        <f>C20*D20*E20</f>
        <v>0</v>
      </c>
      <c r="G20" s="23"/>
    </row>
    <row r="21" spans="1:7" x14ac:dyDescent="0.35">
      <c r="A21" s="23"/>
      <c r="B21" s="23"/>
      <c r="C21" s="31"/>
      <c r="D21" s="31"/>
      <c r="E21" s="28"/>
      <c r="F21" s="19">
        <f>C21*D21*E21</f>
        <v>0</v>
      </c>
      <c r="G21" s="23"/>
    </row>
    <row r="22" spans="1:7" x14ac:dyDescent="0.35">
      <c r="A22" s="23"/>
      <c r="B22" s="23"/>
      <c r="C22" s="31"/>
      <c r="D22" s="31"/>
      <c r="E22" s="28"/>
      <c r="F22" s="19">
        <f>C22*D22*E22</f>
        <v>0</v>
      </c>
      <c r="G22" s="23"/>
    </row>
    <row r="23" spans="1:7" x14ac:dyDescent="0.35">
      <c r="A23" s="23"/>
      <c r="B23" s="23"/>
      <c r="C23" s="31"/>
      <c r="D23" s="31"/>
      <c r="E23" s="28"/>
      <c r="F23" s="19">
        <f>C23*D23*E23</f>
        <v>0</v>
      </c>
      <c r="G23" s="23"/>
    </row>
    <row r="24" spans="1:7" x14ac:dyDescent="0.35">
      <c r="E24" s="29"/>
      <c r="F24" s="29"/>
    </row>
    <row r="25" spans="1:7" x14ac:dyDescent="0.35">
      <c r="A25" s="1" t="s">
        <v>66</v>
      </c>
      <c r="B25" s="1"/>
      <c r="C25" s="1"/>
      <c r="D25" s="1"/>
      <c r="E25" s="1"/>
      <c r="F25" s="30">
        <f>SUM(F4:F23)</f>
        <v>8221</v>
      </c>
    </row>
  </sheetData>
  <mergeCells count="6">
    <mergeCell ref="A25:E25"/>
    <mergeCell ref="A1:H1"/>
    <mergeCell ref="A4:G4"/>
    <mergeCell ref="A9:G9"/>
    <mergeCell ref="A14:G14"/>
    <mergeCell ref="A19:G19"/>
  </mergeCells>
  <conditionalFormatting sqref="E5:E23">
    <cfRule type="expression" dxfId="1" priority="2">
      <formula>AND($C5&lt;&gt;"",$E5="")</formula>
    </cfRule>
  </conditionalFormatting>
  <hyperlinks>
    <hyperlink ref="A2" r:id="rId1" location="'Comece%20Aqui'!A1" xr:uid="{00000000-0004-0000-0400-000000000000}"/>
    <hyperlink ref="B2" r:id="rId2" location="'Dashboard'!A1" xr:uid="{00000000-0004-0000-0400-000001000000}"/>
    <hyperlink ref="C2" r:id="rId3" location="'Projeto'!A1" xr:uid="{00000000-0004-0000-0400-000002000000}"/>
    <hyperlink ref="D2" r:id="rId4" location="'Materiais'!A1" xr:uid="{00000000-0004-0000-0400-000003000000}"/>
    <hyperlink ref="E2" r:id="rId5" location="'MaoObra'!A1" xr:uid="{00000000-0004-0000-0400-000004000000}"/>
    <hyperlink ref="F2" r:id="rId6" location="'CustosAdicionais'!A1" xr:uid="{00000000-0004-0000-0400-000005000000}"/>
    <hyperlink ref="G2" r:id="rId7" location="'Resume'!A1" xr:uid="{00000000-0004-0000-0400-000006000000}"/>
    <hyperlink ref="H2" r:id="rId8" location="'Condicoes'!A1" xr:uid="{00000000-0004-0000-0400-000007000000}"/>
  </hyperlinks>
  <pageMargins left="0.75" right="0.75" top="1" bottom="1" header="0.511811023622047" footer="0.511811023622047"/>
  <pageSetup paperSize="9" orientation="portrait" horizontalDpi="300" verticalDpi="300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H15"/>
  <sheetViews>
    <sheetView zoomScaleNormal="100" workbookViewId="0">
      <selection sqref="A1:F1"/>
    </sheetView>
  </sheetViews>
  <sheetFormatPr defaultColWidth="8.6328125" defaultRowHeight="14.5" x14ac:dyDescent="0.35"/>
  <cols>
    <col min="1" max="6" width="18" customWidth="1"/>
  </cols>
  <sheetData>
    <row r="1" spans="1:8" ht="27.75" customHeight="1" x14ac:dyDescent="0.35">
      <c r="A1" s="4" t="s">
        <v>67</v>
      </c>
      <c r="B1" s="4"/>
      <c r="C1" s="4"/>
      <c r="D1" s="4"/>
      <c r="E1" s="4"/>
      <c r="F1" s="4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24" t="s">
        <v>68</v>
      </c>
      <c r="B3" s="24" t="s">
        <v>52</v>
      </c>
      <c r="C3" s="24" t="s">
        <v>51</v>
      </c>
      <c r="D3" s="24" t="s">
        <v>69</v>
      </c>
      <c r="E3" s="24" t="s">
        <v>54</v>
      </c>
      <c r="F3" s="24" t="s">
        <v>55</v>
      </c>
    </row>
    <row r="4" spans="1:8" x14ac:dyDescent="0.35">
      <c r="A4" s="23"/>
      <c r="B4" s="27"/>
      <c r="C4" s="23"/>
      <c r="D4" s="28"/>
      <c r="E4" s="19">
        <f t="shared" ref="E4:E13" si="0">B4*D4</f>
        <v>0</v>
      </c>
      <c r="F4" s="23"/>
    </row>
    <row r="5" spans="1:8" x14ac:dyDescent="0.35">
      <c r="A5" s="23"/>
      <c r="B5" s="27"/>
      <c r="C5" s="23"/>
      <c r="D5" s="28"/>
      <c r="E5" s="19">
        <f t="shared" si="0"/>
        <v>0</v>
      </c>
      <c r="F5" s="23"/>
    </row>
    <row r="6" spans="1:8" x14ac:dyDescent="0.35">
      <c r="A6" s="23"/>
      <c r="B6" s="27"/>
      <c r="C6" s="23"/>
      <c r="D6" s="28"/>
      <c r="E6" s="19">
        <f t="shared" si="0"/>
        <v>0</v>
      </c>
      <c r="F6" s="23"/>
    </row>
    <row r="7" spans="1:8" x14ac:dyDescent="0.35">
      <c r="A7" s="23"/>
      <c r="B7" s="27"/>
      <c r="C7" s="23"/>
      <c r="D7" s="28"/>
      <c r="E7" s="19">
        <f t="shared" si="0"/>
        <v>0</v>
      </c>
      <c r="F7" s="23"/>
    </row>
    <row r="8" spans="1:8" x14ac:dyDescent="0.35">
      <c r="A8" s="23"/>
      <c r="B8" s="27"/>
      <c r="C8" s="23"/>
      <c r="D8" s="28"/>
      <c r="E8" s="19">
        <f t="shared" si="0"/>
        <v>0</v>
      </c>
      <c r="F8" s="23"/>
    </row>
    <row r="9" spans="1:8" x14ac:dyDescent="0.35">
      <c r="A9" s="23"/>
      <c r="B9" s="27"/>
      <c r="C9" s="23"/>
      <c r="D9" s="28"/>
      <c r="E9" s="19">
        <f t="shared" si="0"/>
        <v>0</v>
      </c>
      <c r="F9" s="23"/>
    </row>
    <row r="10" spans="1:8" x14ac:dyDescent="0.35">
      <c r="A10" s="23"/>
      <c r="B10" s="27"/>
      <c r="C10" s="23"/>
      <c r="D10" s="28"/>
      <c r="E10" s="19">
        <f t="shared" si="0"/>
        <v>0</v>
      </c>
      <c r="F10" s="23"/>
    </row>
    <row r="11" spans="1:8" x14ac:dyDescent="0.35">
      <c r="A11" s="23"/>
      <c r="B11" s="27"/>
      <c r="C11" s="23"/>
      <c r="D11" s="28"/>
      <c r="E11" s="19">
        <f t="shared" si="0"/>
        <v>0</v>
      </c>
      <c r="F11" s="23"/>
    </row>
    <row r="12" spans="1:8" x14ac:dyDescent="0.35">
      <c r="A12" s="23"/>
      <c r="B12" s="27"/>
      <c r="C12" s="23"/>
      <c r="D12" s="28"/>
      <c r="E12" s="19">
        <f t="shared" si="0"/>
        <v>0</v>
      </c>
      <c r="F12" s="23"/>
    </row>
    <row r="13" spans="1:8" x14ac:dyDescent="0.35">
      <c r="A13" s="23"/>
      <c r="B13" s="27"/>
      <c r="C13" s="23"/>
      <c r="D13" s="28"/>
      <c r="E13" s="19">
        <f t="shared" si="0"/>
        <v>0</v>
      </c>
      <c r="F13" s="23"/>
    </row>
    <row r="14" spans="1:8" x14ac:dyDescent="0.35">
      <c r="D14" s="29"/>
      <c r="E14" s="29"/>
    </row>
    <row r="15" spans="1:8" x14ac:dyDescent="0.35">
      <c r="A15" s="1" t="s">
        <v>70</v>
      </c>
      <c r="B15" s="1"/>
      <c r="C15" s="1"/>
      <c r="D15" s="1"/>
      <c r="E15" s="30">
        <f>SUM(E4:E13)</f>
        <v>0</v>
      </c>
    </row>
  </sheetData>
  <mergeCells count="2">
    <mergeCell ref="A1:F1"/>
    <mergeCell ref="A15:D15"/>
  </mergeCells>
  <conditionalFormatting sqref="D4:D13">
    <cfRule type="expression" dxfId="0" priority="2">
      <formula>AND($B4&lt;&gt;"",$D4="")</formula>
    </cfRule>
  </conditionalFormatting>
  <hyperlinks>
    <hyperlink ref="A2" r:id="rId1" location="'Comece%20Aqui'!A1" xr:uid="{00000000-0004-0000-0500-000000000000}"/>
    <hyperlink ref="B2" r:id="rId2" location="'Dashboard'!A1" xr:uid="{00000000-0004-0000-0500-000001000000}"/>
    <hyperlink ref="C2" r:id="rId3" location="'Projeto'!A1" xr:uid="{00000000-0004-0000-0500-000002000000}"/>
    <hyperlink ref="D2" r:id="rId4" location="'Materiais'!A1" xr:uid="{00000000-0004-0000-0500-000003000000}"/>
    <hyperlink ref="E2" r:id="rId5" location="'MaoObra'!A1" xr:uid="{00000000-0004-0000-0500-000004000000}"/>
    <hyperlink ref="F2" r:id="rId6" location="'CustosAdicionais'!A1" xr:uid="{00000000-0004-0000-0500-000005000000}"/>
    <hyperlink ref="G2" r:id="rId7" location="'Resume'!A1" xr:uid="{00000000-0004-0000-0500-000006000000}"/>
    <hyperlink ref="H2" r:id="rId8" location="'Condicoes'!A1" xr:uid="{00000000-0004-0000-05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  <pageSetUpPr fitToPage="1"/>
  </sheetPr>
  <dimension ref="A1:H11"/>
  <sheetViews>
    <sheetView showGridLines="0" zoomScaleNormal="100" workbookViewId="0">
      <selection sqref="A1:C1"/>
    </sheetView>
  </sheetViews>
  <sheetFormatPr defaultColWidth="8.6328125" defaultRowHeight="14.5" x14ac:dyDescent="0.35"/>
  <cols>
    <col min="1" max="3" width="25" customWidth="1"/>
  </cols>
  <sheetData>
    <row r="1" spans="1:8" ht="27.75" customHeight="1" x14ac:dyDescent="0.35">
      <c r="A1" s="4" t="s">
        <v>71</v>
      </c>
      <c r="B1" s="4"/>
      <c r="C1" s="4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16" t="s">
        <v>72</v>
      </c>
      <c r="B3" s="32">
        <f>Materiais!F35</f>
        <v>0</v>
      </c>
    </row>
    <row r="4" spans="1:8" x14ac:dyDescent="0.35">
      <c r="A4" s="16" t="s">
        <v>73</v>
      </c>
      <c r="B4" s="32">
        <f>MaoObra!F25</f>
        <v>8221</v>
      </c>
    </row>
    <row r="5" spans="1:8" x14ac:dyDescent="0.35">
      <c r="A5" s="16" t="s">
        <v>74</v>
      </c>
      <c r="B5" s="32">
        <f>CustosAdicionais!E15</f>
        <v>0</v>
      </c>
    </row>
    <row r="7" spans="1:8" x14ac:dyDescent="0.35">
      <c r="A7" s="16" t="s">
        <v>75</v>
      </c>
      <c r="B7" s="19">
        <f>B3+B4+B5</f>
        <v>8221</v>
      </c>
    </row>
    <row r="8" spans="1:8" x14ac:dyDescent="0.35">
      <c r="A8" s="33" t="s">
        <v>76</v>
      </c>
      <c r="B8" s="34" t="s">
        <v>77</v>
      </c>
    </row>
    <row r="9" spans="1:8" x14ac:dyDescent="0.35">
      <c r="A9" s="16" t="s">
        <v>78</v>
      </c>
      <c r="B9" s="35">
        <v>25</v>
      </c>
    </row>
    <row r="10" spans="1:8" x14ac:dyDescent="0.35">
      <c r="A10" s="16" t="s">
        <v>79</v>
      </c>
      <c r="B10" s="19">
        <f>IF(B8="Total",B7,B4)*B9/100</f>
        <v>2055.25</v>
      </c>
    </row>
    <row r="11" spans="1:8" ht="24.75" customHeight="1" x14ac:dyDescent="0.35">
      <c r="A11" s="36" t="s">
        <v>80</v>
      </c>
      <c r="B11" s="37">
        <f>B7+B10</f>
        <v>10276.25</v>
      </c>
    </row>
  </sheetData>
  <mergeCells count="1">
    <mergeCell ref="A1:C1"/>
  </mergeCells>
  <dataValidations count="1">
    <dataValidation type="list" errorTitle="Opção inválida" error="Escolha &quot;Total&quot; ou &quot;Só Mão de Obra&quot;." sqref="B8" xr:uid="{00000000-0002-0000-0600-000000000000}">
      <formula1>"Total,Só Mão de Obra"</formula1>
      <formula2>0</formula2>
    </dataValidation>
  </dataValidations>
  <hyperlinks>
    <hyperlink ref="A2" r:id="rId1" location="'Comece%20Aqui'!A1" xr:uid="{00000000-0004-0000-0600-000000000000}"/>
    <hyperlink ref="B2" r:id="rId2" location="'Dashboard'!A1" xr:uid="{00000000-0004-0000-0600-000001000000}"/>
    <hyperlink ref="C2" r:id="rId3" location="'Projeto'!A1" xr:uid="{00000000-0004-0000-0600-000002000000}"/>
    <hyperlink ref="D2" r:id="rId4" location="'Materiais'!A1" xr:uid="{00000000-0004-0000-0600-000003000000}"/>
    <hyperlink ref="E2" r:id="rId5" location="'MaoObra'!A1" xr:uid="{00000000-0004-0000-0600-000004000000}"/>
    <hyperlink ref="F2" r:id="rId6" location="'CustosAdicionais'!A1" xr:uid="{00000000-0004-0000-0600-000005000000}"/>
    <hyperlink ref="G2" r:id="rId7" location="'Resume'!A1" xr:uid="{00000000-0004-0000-0600-000006000000}"/>
    <hyperlink ref="H2" r:id="rId8" location="'Condicoes'!A1" xr:uid="{00000000-0004-0000-0600-000007000000}"/>
  </hyperlinks>
  <pageMargins left="0.5" right="0.5" top="0.6" bottom="0.6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  <pageSetUpPr fitToPage="1"/>
  </sheetPr>
  <dimension ref="A1:H9"/>
  <sheetViews>
    <sheetView tabSelected="1" zoomScaleNormal="100" workbookViewId="0">
      <selection sqref="A1:B1"/>
    </sheetView>
  </sheetViews>
  <sheetFormatPr defaultColWidth="8.6328125" defaultRowHeight="14.5" x14ac:dyDescent="0.35"/>
  <cols>
    <col min="1" max="2" width="40" customWidth="1"/>
    <col min="4" max="4" width="33.90625" customWidth="1"/>
  </cols>
  <sheetData>
    <row r="1" spans="1:8" ht="17.5" x14ac:dyDescent="0.35">
      <c r="A1" s="4" t="s">
        <v>81</v>
      </c>
      <c r="B1" s="4"/>
    </row>
    <row r="2" spans="1:8" ht="19.5" customHeigh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 x14ac:dyDescent="0.35">
      <c r="A3" s="16" t="s">
        <v>82</v>
      </c>
      <c r="B3" s="38" t="s">
        <v>83</v>
      </c>
    </row>
    <row r="4" spans="1:8" x14ac:dyDescent="0.35">
      <c r="A4" s="16" t="s">
        <v>84</v>
      </c>
      <c r="B4" s="38" t="s">
        <v>85</v>
      </c>
    </row>
    <row r="5" spans="1:8" x14ac:dyDescent="0.35">
      <c r="A5" s="16" t="s">
        <v>86</v>
      </c>
      <c r="B5" s="38" t="s">
        <v>87</v>
      </c>
    </row>
    <row r="6" spans="1:8" x14ac:dyDescent="0.35">
      <c r="A6" s="16" t="s">
        <v>88</v>
      </c>
      <c r="B6" s="38"/>
    </row>
    <row r="7" spans="1:8" ht="49.5" customHeight="1" x14ac:dyDescent="0.35">
      <c r="A7" s="16" t="s">
        <v>89</v>
      </c>
      <c r="B7" s="38"/>
    </row>
    <row r="8" spans="1:8" x14ac:dyDescent="0.35">
      <c r="A8" s="16" t="s">
        <v>90</v>
      </c>
      <c r="B8" s="38"/>
    </row>
    <row r="9" spans="1:8" x14ac:dyDescent="0.35">
      <c r="A9" s="16" t="s">
        <v>91</v>
      </c>
      <c r="B9" s="38"/>
    </row>
  </sheetData>
  <mergeCells count="1">
    <mergeCell ref="A1:B1"/>
  </mergeCells>
  <hyperlinks>
    <hyperlink ref="A2" r:id="rId1" location="'Comece%20Aqui'!A1" xr:uid="{00000000-0004-0000-0700-000000000000}"/>
    <hyperlink ref="B2" r:id="rId2" location="'Dashboard'!A1" xr:uid="{00000000-0004-0000-0700-000001000000}"/>
    <hyperlink ref="C2" r:id="rId3" location="'Projeto'!A1" xr:uid="{00000000-0004-0000-0700-000002000000}"/>
    <hyperlink ref="D2" r:id="rId4" location="'Materiais'!A1" xr:uid="{00000000-0004-0000-0700-000003000000}"/>
    <hyperlink ref="E2" r:id="rId5" location="'MaoObra'!A1" xr:uid="{00000000-0004-0000-0700-000004000000}"/>
    <hyperlink ref="F2" r:id="rId6" location="'CustosAdicionais'!A1" xr:uid="{00000000-0004-0000-0700-000005000000}"/>
    <hyperlink ref="G2" r:id="rId7" location="'Resume'!A1" xr:uid="{00000000-0004-0000-0700-000006000000}"/>
    <hyperlink ref="H2" r:id="rId8" location="'Condicoes'!A1" xr:uid="{00000000-0004-0000-0700-000007000000}"/>
  </hyperlinks>
  <pageMargins left="0.5" right="0.5" top="0.6" bottom="0.6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3</vt:i4>
      </vt:variant>
    </vt:vector>
  </HeadingPairs>
  <TitlesOfParts>
    <vt:vector size="11" baseType="lpstr">
      <vt:lpstr>Comece Aqui</vt:lpstr>
      <vt:lpstr>Dashboard</vt:lpstr>
      <vt:lpstr>Projeto</vt:lpstr>
      <vt:lpstr>Materiais</vt:lpstr>
      <vt:lpstr>MaoObra</vt:lpstr>
      <vt:lpstr>CustosAdicionais</vt:lpstr>
      <vt:lpstr>Resume</vt:lpstr>
      <vt:lpstr>Condicoes</vt:lpstr>
      <vt:lpstr>Condicoes!Área_de_Impressão</vt:lpstr>
      <vt:lpstr>Dashboard!Área_de_Impressão</vt:lpstr>
      <vt:lpstr>Resume!Área_de_Impressão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Send Better</cp:lastModifiedBy>
  <cp:revision>0</cp:revision>
  <dcterms:created xsi:type="dcterms:W3CDTF">2026-06-25T11:42:00Z</dcterms:created>
  <dcterms:modified xsi:type="dcterms:W3CDTF">2026-07-25T23:55:13Z</dcterms:modified>
  <dc:language>en-US</dc:language>
</cp:coreProperties>
</file>